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OWC Envoy Ultra/Desktop/2026UAP/20260119-###ThreeUFOsMovingFast/"/>
    </mc:Choice>
  </mc:AlternateContent>
  <xr:revisionPtr revIDLastSave="0" documentId="13_ncr:1_{6A100FF7-C3F0-4449-9200-818115470BB1}" xr6:coauthVersionLast="47" xr6:coauthVersionMax="47" xr10:uidLastSave="{00000000-0000-0000-0000-000000000000}"/>
  <bookViews>
    <workbookView xWindow="109000" yWindow="3280" windowWidth="36100" windowHeight="26780" xr2:uid="{1699BFBB-CD91-D04F-BAA2-8286F1D09BD1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25" i="1" l="1"/>
  <c r="F125" i="1" s="1"/>
  <c r="E111" i="1"/>
  <c r="E113" i="1" s="1"/>
  <c r="E121" i="1" s="1"/>
  <c r="E63" i="1"/>
  <c r="E94" i="1"/>
  <c r="E95" i="1" s="1"/>
  <c r="E91" i="1"/>
  <c r="E89" i="1"/>
  <c r="E81" i="1"/>
  <c r="E84" i="1" s="1"/>
  <c r="E66" i="1"/>
  <c r="E67" i="1" s="1"/>
  <c r="E61" i="1"/>
  <c r="E52" i="1"/>
  <c r="E55" i="1" s="1"/>
  <c r="F41" i="1"/>
  <c r="H41" i="1" s="1"/>
  <c r="I41" i="1" l="1"/>
  <c r="E37" i="1"/>
  <c r="F37" i="1" s="1"/>
  <c r="G37" i="1" s="1"/>
  <c r="E82" i="1"/>
  <c r="E56" i="1"/>
  <c r="E39" i="1" s="1"/>
  <c r="F39" i="1" s="1"/>
  <c r="H39" i="1" s="1"/>
  <c r="E129" i="1"/>
  <c r="G41" i="1"/>
  <c r="E130" i="1" l="1"/>
  <c r="F130" i="1" s="1"/>
  <c r="E105" i="1"/>
  <c r="E106" i="1"/>
  <c r="H37" i="1"/>
  <c r="I37" i="1"/>
  <c r="E87" i="1" s="1"/>
  <c r="G39" i="1"/>
  <c r="I39" i="1"/>
  <c r="E59" i="1" s="1"/>
  <c r="E86" i="1" l="1"/>
  <c r="E58" i="1"/>
</calcChain>
</file>

<file path=xl/sharedStrings.xml><?xml version="1.0" encoding="utf-8"?>
<sst xmlns="http://schemas.openxmlformats.org/spreadsheetml/2006/main" count="126" uniqueCount="95">
  <si>
    <t>Lightpole</t>
  </si>
  <si>
    <t>Distance</t>
  </si>
  <si>
    <t xml:space="preserve">1) Camera Distance to Pixel Length Power Curve </t>
  </si>
  <si>
    <t>Distance to Object (ft)</t>
  </si>
  <si>
    <t>Object 1</t>
  </si>
  <si>
    <t>Object 2</t>
  </si>
  <si>
    <t>Object 3</t>
  </si>
  <si>
    <t>Projected Pixels (40 ft pole)</t>
  </si>
  <si>
    <t>Not Applicable</t>
  </si>
  <si>
    <t>Key</t>
  </si>
  <si>
    <t>Projected Pixels (10 ft length)</t>
  </si>
  <si>
    <t>Projected Pixels (130 ft length)</t>
  </si>
  <si>
    <t>Slant</t>
  </si>
  <si>
    <t>Pixel Length</t>
  </si>
  <si>
    <t>These values appear to come close to measured object widths in pixels</t>
  </si>
  <si>
    <t>Value</t>
  </si>
  <si>
    <t>Cloud Ceiling (ft)</t>
  </si>
  <si>
    <t>Measured Angle Above Horizon (deg)</t>
  </si>
  <si>
    <t>O2 Ground Distance (ft)</t>
  </si>
  <si>
    <t>O2 Slant Distance (ft)</t>
  </si>
  <si>
    <t>Ft/Pixel</t>
  </si>
  <si>
    <t>Method</t>
  </si>
  <si>
    <t>Image J Pixel Measure</t>
  </si>
  <si>
    <t>Weather Report</t>
  </si>
  <si>
    <t xml:space="preserve"> +1K judgement call</t>
  </si>
  <si>
    <t>Image J and trig using lightpole 1</t>
  </si>
  <si>
    <t>basic trigonometry</t>
  </si>
  <si>
    <t>2)  Distance to Pixels Power Relationship For Objects 1, 2, and 3 (including lengths calculated further down)</t>
  </si>
  <si>
    <t>3) Object 2 Distance, Size, and Speed Calculations</t>
  </si>
  <si>
    <t>Object 2 above Lightpole 1</t>
  </si>
  <si>
    <t>Object 1 and 2 values were calculated when they were above lightpole 1</t>
  </si>
  <si>
    <t>copied from E45</t>
  </si>
  <si>
    <t>Distance Traveled (miles)</t>
  </si>
  <si>
    <t>Used google maps (see ppt slide)</t>
  </si>
  <si>
    <t>Time Traveled (seconds)</t>
  </si>
  <si>
    <t>O2 Speed (MPH)</t>
  </si>
  <si>
    <t>O2 Speed (Mach)</t>
  </si>
  <si>
    <t>Object 1 above Lightpole 1</t>
  </si>
  <si>
    <t>We will assume O1 is an identical size object as O2 , therefore width(O1) = width(O2)</t>
  </si>
  <si>
    <t>Based on similar timing, appearance and behavior:</t>
  </si>
  <si>
    <t>O1 Ground Distance (ft)</t>
  </si>
  <si>
    <t>O1 Altitude (ft)</t>
  </si>
  <si>
    <t>Est. O2 Altitude (ft)</t>
  </si>
  <si>
    <t>O1 Slant Distance (ft)</t>
  </si>
  <si>
    <t>4) Object 1 Distance, Size, and Speed Calculations</t>
  </si>
  <si>
    <t>O1 Speed (MPH)</t>
  </si>
  <si>
    <t>O1 Speed (Mach)</t>
  </si>
  <si>
    <t>Inverted power curve and O1 width in pixels at start</t>
  </si>
  <si>
    <t>Inverted power curve and O1 width in pixels at end</t>
  </si>
  <si>
    <t>Start O1 Width (pix)</t>
  </si>
  <si>
    <t>copied from E73</t>
  </si>
  <si>
    <t>End O1 Ground Distance (ft)</t>
  </si>
  <si>
    <t>Inverted power curve and O2 width in pixels at end</t>
  </si>
  <si>
    <t>O1 Length at Start (pix)</t>
  </si>
  <si>
    <t>O1 Width at Start (pix)</t>
  </si>
  <si>
    <t>at start</t>
  </si>
  <si>
    <t>5) Object 3 Distance, Size, and Speed Calculations</t>
  </si>
  <si>
    <t>O3 Length at Start (pix)</t>
  </si>
  <si>
    <t>O3 Width at Start (pix)</t>
  </si>
  <si>
    <t>google maps</t>
  </si>
  <si>
    <t>Mattress Store Ground dist (ft)</t>
  </si>
  <si>
    <t>Mattress Store Height (ft)</t>
  </si>
  <si>
    <t>Photo measurement with 8 foot rod</t>
  </si>
  <si>
    <t>Store Angle (degrees)</t>
  </si>
  <si>
    <t>Number of Store Height Angles for O3 Drop</t>
  </si>
  <si>
    <t>O3 Total Drop Angle</t>
  </si>
  <si>
    <t>Above the Cloud Ceiling, So Lets Say It Was</t>
  </si>
  <si>
    <t>cloud ceiling was 8000 feet</t>
  </si>
  <si>
    <t>Analysis of the Video Indicates O3 Dropped From</t>
  </si>
  <si>
    <t>Video Also Shows Drop Went Near Horizon</t>
  </si>
  <si>
    <t>So Total Drop Was Around (ft)</t>
  </si>
  <si>
    <t>Ground Distance To Object 3 Was ~</t>
  </si>
  <si>
    <t>or 23.65 miles</t>
  </si>
  <si>
    <t>Speed Estimate Method 1:</t>
  </si>
  <si>
    <t xml:space="preserve">    O3 Drop Time (sec)</t>
  </si>
  <si>
    <t xml:space="preserve">    O3 Drop Speed (mph)</t>
  </si>
  <si>
    <t>Speed Estimate Method 2:</t>
  </si>
  <si>
    <t xml:space="preserve">    # pixel drop at 23.65 miles away</t>
  </si>
  <si>
    <t xml:space="preserve">    O3 Drop (ft) </t>
  </si>
  <si>
    <t>Mach</t>
  </si>
  <si>
    <t xml:space="preserve">Key values </t>
  </si>
  <si>
    <t>Used Image J for pixel lengths and google maps for disstances</t>
  </si>
  <si>
    <t>Probably some strange form of motion blur</t>
  </si>
  <si>
    <t>Date:</t>
  </si>
  <si>
    <t>Author:</t>
  </si>
  <si>
    <t xml:space="preserve"> Rick Avila</t>
  </si>
  <si>
    <t>O2 Width at Start (pix)</t>
  </si>
  <si>
    <t>O2 Length at Start (pix)</t>
  </si>
  <si>
    <t>O2 Width at Start (ft)</t>
  </si>
  <si>
    <t>O1 Width at Start (ft)</t>
  </si>
  <si>
    <t>O1 Widthat End  (pix)</t>
  </si>
  <si>
    <t>O1 Length at Start (ft)</t>
  </si>
  <si>
    <t>O2 Width at End (pix)</t>
  </si>
  <si>
    <t>O2 Ground Distance at End (ft)</t>
  </si>
  <si>
    <t>O2 Length at Start (ft)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</si>
</sst>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0.000"/>
  </numFmts>
  <fonts count="8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"/>
      <scheme val="minor"/>
    </font>
    <font>
      <b/>
      <u/>
      <sz val="12"/>
      <color theme="1"/>
      <name val="Aptos Narrow"/>
      <scheme val="minor"/>
    </font>
    <font>
      <u/>
      <sz val="12"/>
      <color theme="1"/>
      <name val="Aptos Narrow"/>
      <scheme val="minor"/>
    </font>
    <font>
      <b/>
      <sz val="16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5">
    <xf numFmtId="0" fontId="0" fillId="0" borderId="0" xfId="0"/>
    <xf numFmtId="0" fontId="0" fillId="4" borderId="0" xfId="0" applyFill="1"/>
    <xf numFmtId="164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2" fillId="3" borderId="0" xfId="2" applyNumberFormat="1" applyAlignment="1">
      <alignment horizontal="center"/>
    </xf>
    <xf numFmtId="0" fontId="2" fillId="3" borderId="0" xfId="2"/>
    <xf numFmtId="2" fontId="1" fillId="2" borderId="0" xfId="1" applyNumberFormat="1" applyAlignment="1">
      <alignment horizontal="center"/>
    </xf>
    <xf numFmtId="0" fontId="1" fillId="2" borderId="0" xfId="1"/>
    <xf numFmtId="3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2" fontId="0" fillId="6" borderId="0" xfId="0" applyNumberFormat="1" applyFill="1" applyAlignment="1">
      <alignment horizontal="left"/>
    </xf>
    <xf numFmtId="2" fontId="0" fillId="0" borderId="0" xfId="0" applyNumberForma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1" fontId="0" fillId="0" borderId="0" xfId="0" applyNumberFormat="1"/>
    <xf numFmtId="0" fontId="3" fillId="0" borderId="1" xfId="0" applyFont="1" applyBorder="1"/>
    <xf numFmtId="0" fontId="0" fillId="0" borderId="2" xfId="0" applyBorder="1"/>
    <xf numFmtId="2" fontId="0" fillId="0" borderId="3" xfId="0" applyNumberFormat="1" applyBorder="1" applyAlignment="1">
      <alignment horizontal="center"/>
    </xf>
    <xf numFmtId="0" fontId="3" fillId="0" borderId="4" xfId="0" applyFont="1" applyBorder="1"/>
    <xf numFmtId="0" fontId="0" fillId="0" borderId="5" xfId="0" applyBorder="1"/>
    <xf numFmtId="2" fontId="0" fillId="0" borderId="6" xfId="0" applyNumberFormat="1" applyBorder="1" applyAlignment="1">
      <alignment horizontal="center"/>
    </xf>
    <xf numFmtId="1" fontId="0" fillId="0" borderId="3" xfId="0" applyNumberFormat="1" applyBorder="1"/>
    <xf numFmtId="2" fontId="0" fillId="0" borderId="6" xfId="0" applyNumberFormat="1" applyBorder="1"/>
    <xf numFmtId="1" fontId="0" fillId="0" borderId="3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3" fillId="0" borderId="7" xfId="0" applyFont="1" applyBorder="1"/>
    <xf numFmtId="0" fontId="0" fillId="0" borderId="8" xfId="0" applyBorder="1"/>
    <xf numFmtId="1" fontId="0" fillId="0" borderId="9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0" fillId="6" borderId="3" xfId="0" applyNumberFormat="1" applyFill="1" applyBorder="1" applyAlignment="1">
      <alignment horizontal="center"/>
    </xf>
    <xf numFmtId="1" fontId="0" fillId="6" borderId="6" xfId="0" applyNumberFormat="1" applyFill="1" applyBorder="1" applyAlignment="1">
      <alignment horizontal="center"/>
    </xf>
    <xf numFmtId="1" fontId="0" fillId="6" borderId="9" xfId="0" applyNumberForma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Camera Distance  to Pixel Length Power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Right Lightpoles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Sheet1!$E$14:$E$16</c:f>
              <c:numCache>
                <c:formatCode>0.0</c:formatCode>
                <c:ptCount val="3"/>
                <c:pt idx="0">
                  <c:v>345.5</c:v>
                </c:pt>
                <c:pt idx="1">
                  <c:v>520</c:v>
                </c:pt>
                <c:pt idx="2">
                  <c:v>710</c:v>
                </c:pt>
              </c:numCache>
            </c:numRef>
          </c:xVal>
          <c:yVal>
            <c:numRef>
              <c:f>Sheet1!$F$14:$F$16</c:f>
              <c:numCache>
                <c:formatCode>0.0</c:formatCode>
                <c:ptCount val="3"/>
                <c:pt idx="0">
                  <c:v>257.60000000000002</c:v>
                </c:pt>
                <c:pt idx="1">
                  <c:v>179.1</c:v>
                </c:pt>
                <c:pt idx="2">
                  <c:v>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C1-C44D-8237-45A5577F6E99}"/>
            </c:ext>
          </c:extLst>
        </c:ser>
        <c:ser>
          <c:idx val="0"/>
          <c:order val="1"/>
          <c:tx>
            <c:v>Left Lightpoles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0632997418334617"/>
                  <c:y val="-0.4801934640849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Sheet1!$E$10:$E$13</c:f>
              <c:numCache>
                <c:formatCode>0.0</c:formatCode>
                <c:ptCount val="4"/>
                <c:pt idx="0">
                  <c:v>152.30000000000001</c:v>
                </c:pt>
                <c:pt idx="1">
                  <c:v>347.9</c:v>
                </c:pt>
                <c:pt idx="2">
                  <c:v>518.20000000000005</c:v>
                </c:pt>
                <c:pt idx="3">
                  <c:v>718</c:v>
                </c:pt>
              </c:numCache>
            </c:numRef>
          </c:xVal>
          <c:yVal>
            <c:numRef>
              <c:f>Sheet1!$F$10:$F$13</c:f>
              <c:numCache>
                <c:formatCode>0.0</c:formatCode>
                <c:ptCount val="4"/>
                <c:pt idx="0">
                  <c:v>576.79999999999995</c:v>
                </c:pt>
                <c:pt idx="1">
                  <c:v>263.10000000000002</c:v>
                </c:pt>
                <c:pt idx="2">
                  <c:v>168.1</c:v>
                </c:pt>
                <c:pt idx="3">
                  <c:v>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C1-C44D-8237-45A5577F6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737152"/>
        <c:axId val="156290560"/>
      </c:scatterChart>
      <c:valAx>
        <c:axId val="10573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Ground Distance (feet)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90560"/>
        <c:crosses val="autoZero"/>
        <c:crossBetween val="midCat"/>
      </c:valAx>
      <c:valAx>
        <c:axId val="15629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Object Length (pixels)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37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403678</xdr:colOff>
      <xdr:row>7</xdr:row>
      <xdr:rowOff>40821</xdr:rowOff>
    </xdr:from>
    <xdr:to>
      <xdr:col>3</xdr:col>
      <xdr:colOff>185963</xdr:colOff>
      <xdr:row>12</xdr:row>
      <xdr:rowOff>131535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85B646B-BD0C-35C3-B2CF-0F80826F6E49}"/>
            </a:ext>
          </a:extLst>
        </xdr:cNvPr>
        <xdr:cNvSpPr txBox="1"/>
      </xdr:nvSpPr>
      <xdr:spPr>
        <a:xfrm rot="16200000">
          <a:off x="988785" y="680357"/>
          <a:ext cx="1088571" cy="607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solidFill>
                <a:srgbClr val="0070C0"/>
              </a:solidFill>
            </a:rPr>
            <a:t>Left</a:t>
          </a:r>
        </a:p>
      </xdr:txBody>
    </xdr:sp>
    <xdr:clientData/>
  </xdr:twoCellAnchor>
  <xdr:twoCellAnchor>
    <xdr:from>
      <xdr:col>2</xdr:col>
      <xdr:colOff>383721</xdr:colOff>
      <xdr:row>10</xdr:row>
      <xdr:rowOff>166008</xdr:rowOff>
    </xdr:from>
    <xdr:to>
      <xdr:col>3</xdr:col>
      <xdr:colOff>166006</xdr:colOff>
      <xdr:row>16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3FAF9A4-BAB3-284E-AC0F-1165341415B9}"/>
            </a:ext>
          </a:extLst>
        </xdr:cNvPr>
        <xdr:cNvSpPr txBox="1"/>
      </xdr:nvSpPr>
      <xdr:spPr>
        <a:xfrm rot="16200000">
          <a:off x="968828" y="1404258"/>
          <a:ext cx="1088571" cy="607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solidFill>
                <a:srgbClr val="FF0000"/>
              </a:solidFill>
            </a:rPr>
            <a:t>Right</a:t>
          </a:r>
        </a:p>
      </xdr:txBody>
    </xdr:sp>
    <xdr:clientData/>
  </xdr:twoCellAnchor>
  <xdr:twoCellAnchor>
    <xdr:from>
      <xdr:col>6</xdr:col>
      <xdr:colOff>1165642</xdr:colOff>
      <xdr:row>4</xdr:row>
      <xdr:rowOff>58936</xdr:rowOff>
    </xdr:from>
    <xdr:to>
      <xdr:col>18</xdr:col>
      <xdr:colOff>241300</xdr:colOff>
      <xdr:row>30</xdr:row>
      <xdr:rowOff>139699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BFDFDC-75F3-C151-FFA7-696B53F8B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651A1-6744-FB4B-9A1C-5657D4036B1C}">
  <dimension ref="B2:K130"/>
  <sheetViews>
    <sheetView tabSelected="1" topLeftCell="A93" zoomScale="123" zoomScaleNormal="123" workbookViewId="0">
      <selection activeCell="G51" sqref="G51"/>
    </sheetView>
  </sheetViews>
  <sheetFormatPr baseColWidth="10" defaultRowHeight="16" x14ac:dyDescent="0.2"/>
  <cols>
    <col min="3" max="3" width="31.5" customWidth="1"/>
    <col min="4" max="4" width="18.6640625" customWidth="1"/>
    <col min="5" max="5" width="21.1640625" customWidth="1"/>
    <col min="6" max="6" width="24.6640625" customWidth="1"/>
    <col min="7" max="7" width="25.33203125" customWidth="1"/>
    <col min="8" max="8" width="29.5" customWidth="1"/>
    <col min="9" max="9" width="9.83203125" customWidth="1"/>
    <col min="11" max="11" width="13.83203125" customWidth="1"/>
  </cols>
  <sheetData>
    <row r="2" spans="2:6" s="42" customFormat="1" ht="22" x14ac:dyDescent="0.3">
      <c r="B2" s="42" t="s">
        <v>84</v>
      </c>
      <c r="C2" s="43" t="s">
        <v>85</v>
      </c>
    </row>
    <row r="3" spans="2:6" s="42" customFormat="1" ht="22" x14ac:dyDescent="0.3">
      <c r="B3" s="42" t="s">
        <v>83</v>
      </c>
      <c r="C3" s="44">
        <v>46309</v>
      </c>
    </row>
    <row r="6" spans="2:6" ht="24" x14ac:dyDescent="0.3">
      <c r="B6" s="6" t="s">
        <v>2</v>
      </c>
    </row>
    <row r="9" spans="2:6" x14ac:dyDescent="0.2">
      <c r="D9" s="5" t="s">
        <v>0</v>
      </c>
      <c r="E9" s="5" t="s">
        <v>1</v>
      </c>
      <c r="F9" s="5" t="s">
        <v>13</v>
      </c>
    </row>
    <row r="10" spans="2:6" x14ac:dyDescent="0.2">
      <c r="D10" s="1">
        <v>1</v>
      </c>
      <c r="E10" s="2">
        <v>152.30000000000001</v>
      </c>
      <c r="F10" s="2">
        <v>576.79999999999995</v>
      </c>
    </row>
    <row r="11" spans="2:6" x14ac:dyDescent="0.2">
      <c r="D11" s="1">
        <v>2</v>
      </c>
      <c r="E11" s="2">
        <v>347.9</v>
      </c>
      <c r="F11" s="2">
        <v>263.10000000000002</v>
      </c>
    </row>
    <row r="12" spans="2:6" x14ac:dyDescent="0.2">
      <c r="D12" s="1">
        <v>3</v>
      </c>
      <c r="E12" s="2">
        <v>518.20000000000005</v>
      </c>
      <c r="F12" s="2">
        <v>168.1</v>
      </c>
    </row>
    <row r="13" spans="2:6" x14ac:dyDescent="0.2">
      <c r="D13" s="1">
        <v>4</v>
      </c>
      <c r="E13" s="2">
        <v>718</v>
      </c>
      <c r="F13" s="2">
        <v>135</v>
      </c>
    </row>
    <row r="14" spans="2:6" x14ac:dyDescent="0.2">
      <c r="D14" s="3">
        <v>5</v>
      </c>
      <c r="E14" s="4">
        <v>345.5</v>
      </c>
      <c r="F14" s="4">
        <v>257.60000000000002</v>
      </c>
    </row>
    <row r="15" spans="2:6" x14ac:dyDescent="0.2">
      <c r="D15" s="3">
        <v>6</v>
      </c>
      <c r="E15" s="4">
        <v>520</v>
      </c>
      <c r="F15" s="4">
        <v>179.1</v>
      </c>
    </row>
    <row r="16" spans="2:6" x14ac:dyDescent="0.2">
      <c r="D16" s="3">
        <v>7</v>
      </c>
      <c r="E16" s="4">
        <v>710</v>
      </c>
      <c r="F16" s="4">
        <v>124</v>
      </c>
    </row>
    <row r="18" spans="4:4" x14ac:dyDescent="0.2">
      <c r="D18" t="s">
        <v>81</v>
      </c>
    </row>
    <row r="33" spans="2:11" ht="24" x14ac:dyDescent="0.3">
      <c r="B33" s="6" t="s">
        <v>27</v>
      </c>
    </row>
    <row r="34" spans="2:11" x14ac:dyDescent="0.2">
      <c r="C34" t="s">
        <v>30</v>
      </c>
    </row>
    <row r="35" spans="2:11" x14ac:dyDescent="0.2">
      <c r="E35" s="5" t="s">
        <v>12</v>
      </c>
    </row>
    <row r="36" spans="2:11" x14ac:dyDescent="0.2">
      <c r="E36" s="5" t="s">
        <v>3</v>
      </c>
      <c r="F36" s="5" t="s">
        <v>7</v>
      </c>
      <c r="G36" s="5" t="s">
        <v>10</v>
      </c>
      <c r="H36" s="5" t="s">
        <v>11</v>
      </c>
      <c r="I36" s="5" t="s">
        <v>20</v>
      </c>
      <c r="K36" s="5" t="s">
        <v>9</v>
      </c>
    </row>
    <row r="37" spans="2:11" x14ac:dyDescent="0.2">
      <c r="C37" s="5" t="s">
        <v>4</v>
      </c>
      <c r="D37" s="5" t="s">
        <v>4</v>
      </c>
      <c r="E37" s="8">
        <f>E81</f>
        <v>11671.926725852918</v>
      </c>
      <c r="F37" s="10">
        <f>70226*POWER(E37,-0.957)</f>
        <v>9</v>
      </c>
      <c r="G37" s="13">
        <f>F37/4</f>
        <v>2.25</v>
      </c>
      <c r="H37" s="11">
        <f>F37*3.25</f>
        <v>29.25</v>
      </c>
      <c r="I37" s="18">
        <f>40/F37</f>
        <v>4.4444444444444446</v>
      </c>
      <c r="K37" s="12" t="s">
        <v>8</v>
      </c>
    </row>
    <row r="38" spans="2:11" x14ac:dyDescent="0.2">
      <c r="C38" s="5"/>
      <c r="D38" s="5"/>
      <c r="E38" s="9"/>
      <c r="F38" s="10"/>
      <c r="G38" s="10"/>
      <c r="I38" s="18"/>
    </row>
    <row r="39" spans="2:11" x14ac:dyDescent="0.2">
      <c r="C39" s="5" t="s">
        <v>5</v>
      </c>
      <c r="D39" s="5" t="s">
        <v>5</v>
      </c>
      <c r="E39" s="8">
        <f>E56</f>
        <v>21929.794498539966</v>
      </c>
      <c r="F39" s="10">
        <f>70226*POWER(E39,-0.957)</f>
        <v>4.9218441350506792</v>
      </c>
      <c r="G39" s="13">
        <f>F39/4</f>
        <v>1.2304610337626698</v>
      </c>
      <c r="H39" s="11">
        <f>F39*3.25</f>
        <v>15.995993438914708</v>
      </c>
      <c r="I39" s="18">
        <f>40/F39</f>
        <v>8.1270350914085032</v>
      </c>
      <c r="K39" s="14" t="s">
        <v>14</v>
      </c>
    </row>
    <row r="40" spans="2:11" x14ac:dyDescent="0.2">
      <c r="C40" s="5"/>
      <c r="D40" s="5"/>
      <c r="E40" s="9"/>
      <c r="F40" s="10"/>
      <c r="G40" s="10"/>
      <c r="I40" s="18"/>
    </row>
    <row r="41" spans="2:11" x14ac:dyDescent="0.2">
      <c r="C41" s="5" t="s">
        <v>6</v>
      </c>
      <c r="D41" s="5" t="s">
        <v>6</v>
      </c>
      <c r="E41" s="8">
        <v>124896</v>
      </c>
      <c r="F41" s="10">
        <f>70226*POWER(E41,-0.957)</f>
        <v>0.93132441723422721</v>
      </c>
      <c r="G41" s="11">
        <f>F41/4</f>
        <v>0.2328311043085568</v>
      </c>
      <c r="H41" s="13">
        <f>F41*3.25</f>
        <v>3.0268043560112385</v>
      </c>
      <c r="I41" s="18">
        <f>40/F41</f>
        <v>42.949587984376919</v>
      </c>
      <c r="K41" s="17" t="s">
        <v>80</v>
      </c>
    </row>
    <row r="44" spans="2:11" ht="24" x14ac:dyDescent="0.3">
      <c r="B44" s="6" t="s">
        <v>28</v>
      </c>
    </row>
    <row r="45" spans="2:11" ht="14" customHeight="1" x14ac:dyDescent="0.3">
      <c r="B45" s="6"/>
    </row>
    <row r="46" spans="2:11" x14ac:dyDescent="0.2">
      <c r="C46" s="19" t="s">
        <v>29</v>
      </c>
      <c r="D46" s="20"/>
      <c r="E46" s="21" t="s">
        <v>15</v>
      </c>
      <c r="F46" s="21" t="s">
        <v>21</v>
      </c>
    </row>
    <row r="47" spans="2:11" x14ac:dyDescent="0.2">
      <c r="C47" s="5"/>
      <c r="E47" s="16"/>
    </row>
    <row r="48" spans="2:11" x14ac:dyDescent="0.2">
      <c r="C48" s="5" t="s">
        <v>87</v>
      </c>
      <c r="E48" s="7">
        <v>17.443999999999999</v>
      </c>
      <c r="F48" t="s">
        <v>22</v>
      </c>
    </row>
    <row r="49" spans="3:7" x14ac:dyDescent="0.2">
      <c r="C49" s="5" t="s">
        <v>86</v>
      </c>
      <c r="E49" s="7">
        <v>1.2</v>
      </c>
      <c r="F49" t="s">
        <v>22</v>
      </c>
      <c r="G49" s="22"/>
    </row>
    <row r="50" spans="3:7" x14ac:dyDescent="0.2">
      <c r="C50" s="5"/>
      <c r="E50" s="16"/>
    </row>
    <row r="51" spans="3:7" ht="17" thickBot="1" x14ac:dyDescent="0.25">
      <c r="C51" s="5" t="s">
        <v>16</v>
      </c>
      <c r="E51" s="15">
        <v>8000</v>
      </c>
      <c r="F51" t="s">
        <v>23</v>
      </c>
    </row>
    <row r="52" spans="3:7" ht="17" thickBot="1" x14ac:dyDescent="0.25">
      <c r="C52" s="33" t="s">
        <v>42</v>
      </c>
      <c r="D52" s="34"/>
      <c r="E52" s="41">
        <f>E51+1000</f>
        <v>9000</v>
      </c>
      <c r="F52" t="s">
        <v>24</v>
      </c>
    </row>
    <row r="53" spans="3:7" x14ac:dyDescent="0.2">
      <c r="C53" s="5" t="s">
        <v>17</v>
      </c>
      <c r="E53" s="7">
        <v>24.23</v>
      </c>
      <c r="F53" t="s">
        <v>25</v>
      </c>
    </row>
    <row r="54" spans="3:7" ht="17" thickBot="1" x14ac:dyDescent="0.25"/>
    <row r="55" spans="3:7" x14ac:dyDescent="0.2">
      <c r="C55" s="23" t="s">
        <v>18</v>
      </c>
      <c r="D55" s="24"/>
      <c r="E55" s="31">
        <f>E52/TAN(RADIANS(E53))</f>
        <v>19997.897058145732</v>
      </c>
      <c r="F55" t="s">
        <v>26</v>
      </c>
      <c r="G55" t="s">
        <v>55</v>
      </c>
    </row>
    <row r="56" spans="3:7" ht="17" thickBot="1" x14ac:dyDescent="0.25">
      <c r="C56" s="26" t="s">
        <v>19</v>
      </c>
      <c r="D56" s="27"/>
      <c r="E56" s="40">
        <f>E52/SIN(RADIANS(E53))</f>
        <v>21929.794498539966</v>
      </c>
      <c r="F56" t="s">
        <v>26</v>
      </c>
      <c r="G56" t="s">
        <v>55</v>
      </c>
    </row>
    <row r="57" spans="3:7" ht="17" thickBot="1" x14ac:dyDescent="0.25"/>
    <row r="58" spans="3:7" x14ac:dyDescent="0.2">
      <c r="C58" s="23" t="s">
        <v>94</v>
      </c>
      <c r="D58" s="24"/>
      <c r="E58" s="25">
        <f>E48*I39</f>
        <v>141.76800013452993</v>
      </c>
      <c r="F58" t="s">
        <v>82</v>
      </c>
    </row>
    <row r="59" spans="3:7" ht="17" thickBot="1" x14ac:dyDescent="0.25">
      <c r="C59" s="26" t="s">
        <v>88</v>
      </c>
      <c r="D59" s="27"/>
      <c r="E59" s="28">
        <f>E49*I39</f>
        <v>9.7524421096902039</v>
      </c>
    </row>
    <row r="61" spans="3:7" x14ac:dyDescent="0.2">
      <c r="C61" s="5" t="s">
        <v>86</v>
      </c>
      <c r="E61">
        <f>E49</f>
        <v>1.2</v>
      </c>
      <c r="F61" t="s">
        <v>31</v>
      </c>
      <c r="G61" s="22"/>
    </row>
    <row r="62" spans="3:7" x14ac:dyDescent="0.2">
      <c r="C62" s="5" t="s">
        <v>92</v>
      </c>
      <c r="E62">
        <v>0.6</v>
      </c>
      <c r="F62" t="s">
        <v>22</v>
      </c>
      <c r="G62" s="22"/>
    </row>
    <row r="63" spans="3:7" x14ac:dyDescent="0.2">
      <c r="C63" s="5" t="s">
        <v>93</v>
      </c>
      <c r="E63" s="18">
        <f>((17556.5/E62)^(1/0.957))/5280</f>
        <v>8.7969539020124294</v>
      </c>
      <c r="F63" t="s">
        <v>52</v>
      </c>
      <c r="G63" s="22"/>
    </row>
    <row r="64" spans="3:7" x14ac:dyDescent="0.2">
      <c r="C64" s="5" t="s">
        <v>32</v>
      </c>
      <c r="E64">
        <v>5.34</v>
      </c>
      <c r="F64" t="s">
        <v>33</v>
      </c>
    </row>
    <row r="65" spans="2:6" ht="17" thickBot="1" x14ac:dyDescent="0.25">
      <c r="C65" s="5" t="s">
        <v>34</v>
      </c>
      <c r="E65">
        <v>1.38</v>
      </c>
    </row>
    <row r="66" spans="2:6" x14ac:dyDescent="0.2">
      <c r="C66" s="23" t="s">
        <v>35</v>
      </c>
      <c r="D66" s="24"/>
      <c r="E66" s="29">
        <f>(E64/E65)*3600</f>
        <v>13930.434782608696</v>
      </c>
    </row>
    <row r="67" spans="2:6" ht="17" thickBot="1" x14ac:dyDescent="0.25">
      <c r="C67" s="26" t="s">
        <v>36</v>
      </c>
      <c r="D67" s="27"/>
      <c r="E67" s="30">
        <f>E66/767.269</f>
        <v>18.155868127877831</v>
      </c>
    </row>
    <row r="71" spans="2:6" ht="24" x14ac:dyDescent="0.3">
      <c r="B71" s="6" t="s">
        <v>44</v>
      </c>
    </row>
    <row r="73" spans="2:6" x14ac:dyDescent="0.2">
      <c r="C73" s="19" t="s">
        <v>37</v>
      </c>
      <c r="D73" s="20"/>
      <c r="E73" s="21" t="s">
        <v>15</v>
      </c>
      <c r="F73" s="21" t="s">
        <v>21</v>
      </c>
    </row>
    <row r="75" spans="2:6" x14ac:dyDescent="0.2">
      <c r="C75" s="5" t="s">
        <v>53</v>
      </c>
      <c r="E75" s="7">
        <v>30.911999999999999</v>
      </c>
      <c r="F75" t="s">
        <v>22</v>
      </c>
    </row>
    <row r="76" spans="2:6" x14ac:dyDescent="0.2">
      <c r="C76" s="5" t="s">
        <v>54</v>
      </c>
      <c r="E76" s="7">
        <v>2.25</v>
      </c>
      <c r="F76" t="s">
        <v>22</v>
      </c>
    </row>
    <row r="78" spans="2:6" x14ac:dyDescent="0.2">
      <c r="C78" s="5" t="s">
        <v>39</v>
      </c>
    </row>
    <row r="79" spans="2:6" x14ac:dyDescent="0.2">
      <c r="C79" s="5" t="s">
        <v>38</v>
      </c>
    </row>
    <row r="80" spans="2:6" ht="17" thickBot="1" x14ac:dyDescent="0.25"/>
    <row r="81" spans="3:7" x14ac:dyDescent="0.2">
      <c r="C81" s="23" t="s">
        <v>43</v>
      </c>
      <c r="D81" s="24"/>
      <c r="E81" s="39">
        <f>(17556.5/E76)^(1/0.957)</f>
        <v>11671.926725852918</v>
      </c>
      <c r="F81" t="s">
        <v>47</v>
      </c>
    </row>
    <row r="82" spans="3:7" ht="17" thickBot="1" x14ac:dyDescent="0.25">
      <c r="C82" s="26" t="s">
        <v>40</v>
      </c>
      <c r="D82" s="27"/>
      <c r="E82" s="32">
        <f>E81*COS(RADIANS(E53))</f>
        <v>10643.692495584799</v>
      </c>
      <c r="F82" t="s">
        <v>26</v>
      </c>
    </row>
    <row r="83" spans="3:7" ht="17" thickBot="1" x14ac:dyDescent="0.25">
      <c r="C83" s="5"/>
      <c r="E83" s="9"/>
    </row>
    <row r="84" spans="3:7" ht="17" thickBot="1" x14ac:dyDescent="0.25">
      <c r="C84" s="33" t="s">
        <v>41</v>
      </c>
      <c r="D84" s="34"/>
      <c r="E84" s="35">
        <f>E81*SIN(RADIANS(E53))</f>
        <v>4790.1652949675417</v>
      </c>
      <c r="F84" t="s">
        <v>26</v>
      </c>
    </row>
    <row r="85" spans="3:7" ht="17" thickBot="1" x14ac:dyDescent="0.25"/>
    <row r="86" spans="3:7" x14ac:dyDescent="0.2">
      <c r="C86" s="23" t="s">
        <v>91</v>
      </c>
      <c r="D86" s="24"/>
      <c r="E86" s="25">
        <f>E75*I37</f>
        <v>137.38666666666666</v>
      </c>
      <c r="F86" t="s">
        <v>55</v>
      </c>
      <c r="G86" t="s">
        <v>82</v>
      </c>
    </row>
    <row r="87" spans="3:7" ht="17" thickBot="1" x14ac:dyDescent="0.25">
      <c r="C87" s="26" t="s">
        <v>89</v>
      </c>
      <c r="D87" s="27"/>
      <c r="E87" s="28">
        <f>E76*I37</f>
        <v>10</v>
      </c>
      <c r="F87" t="s">
        <v>55</v>
      </c>
    </row>
    <row r="89" spans="3:7" x14ac:dyDescent="0.2">
      <c r="C89" s="5" t="s">
        <v>49</v>
      </c>
      <c r="E89">
        <f>E76</f>
        <v>2.25</v>
      </c>
      <c r="F89" t="s">
        <v>50</v>
      </c>
    </row>
    <row r="90" spans="3:7" x14ac:dyDescent="0.2">
      <c r="C90" s="5" t="s">
        <v>90</v>
      </c>
      <c r="E90" s="18">
        <v>1.1000000000000001</v>
      </c>
      <c r="F90" t="s">
        <v>22</v>
      </c>
    </row>
    <row r="91" spans="3:7" x14ac:dyDescent="0.2">
      <c r="C91" s="5" t="s">
        <v>51</v>
      </c>
      <c r="E91" s="18">
        <f>((17556.5/E90)^(1/0.957))/5280</f>
        <v>4.6694195398968912</v>
      </c>
      <c r="F91" t="s">
        <v>48</v>
      </c>
    </row>
    <row r="92" spans="3:7" x14ac:dyDescent="0.2">
      <c r="C92" s="5" t="s">
        <v>32</v>
      </c>
      <c r="E92">
        <v>3.43</v>
      </c>
      <c r="F92" t="s">
        <v>33</v>
      </c>
    </row>
    <row r="93" spans="3:7" ht="17" thickBot="1" x14ac:dyDescent="0.25">
      <c r="C93" s="5" t="s">
        <v>34</v>
      </c>
      <c r="E93">
        <v>1.69</v>
      </c>
    </row>
    <row r="94" spans="3:7" x14ac:dyDescent="0.2">
      <c r="C94" s="23" t="s">
        <v>45</v>
      </c>
      <c r="D94" s="24"/>
      <c r="E94" s="29">
        <f>(E92/E93)*3600</f>
        <v>7306.5088757396461</v>
      </c>
    </row>
    <row r="95" spans="3:7" ht="17" thickBot="1" x14ac:dyDescent="0.25">
      <c r="C95" s="26" t="s">
        <v>46</v>
      </c>
      <c r="D95" s="27"/>
      <c r="E95" s="30">
        <f>E94/767.269</f>
        <v>9.5227474011587141</v>
      </c>
    </row>
    <row r="98" spans="2:6" ht="24" x14ac:dyDescent="0.3">
      <c r="B98" s="6" t="s">
        <v>56</v>
      </c>
    </row>
    <row r="100" spans="2:6" x14ac:dyDescent="0.2">
      <c r="C100" s="19" t="s">
        <v>6</v>
      </c>
      <c r="D100" s="20"/>
      <c r="E100" s="21" t="s">
        <v>15</v>
      </c>
      <c r="F100" s="21" t="s">
        <v>21</v>
      </c>
    </row>
    <row r="102" spans="2:6" x14ac:dyDescent="0.2">
      <c r="C102" s="5" t="s">
        <v>57</v>
      </c>
      <c r="E102" s="7">
        <v>3.0310000000000001</v>
      </c>
      <c r="F102" t="s">
        <v>22</v>
      </c>
    </row>
    <row r="103" spans="2:6" x14ac:dyDescent="0.2">
      <c r="C103" s="5" t="s">
        <v>58</v>
      </c>
      <c r="E103" s="36">
        <v>2</v>
      </c>
      <c r="F103" t="s">
        <v>22</v>
      </c>
    </row>
    <row r="104" spans="2:6" ht="17" thickBot="1" x14ac:dyDescent="0.25">
      <c r="C104" s="5"/>
      <c r="E104" s="36"/>
    </row>
    <row r="105" spans="2:6" x14ac:dyDescent="0.2">
      <c r="C105" s="23" t="s">
        <v>91</v>
      </c>
      <c r="D105" s="24"/>
      <c r="E105" s="25">
        <f>E102*I41</f>
        <v>130.18020118064643</v>
      </c>
      <c r="F105" t="s">
        <v>82</v>
      </c>
    </row>
    <row r="106" spans="2:6" ht="17" thickBot="1" x14ac:dyDescent="0.25">
      <c r="C106" s="26" t="s">
        <v>89</v>
      </c>
      <c r="D106" s="27"/>
      <c r="E106" s="28">
        <f>E103*I41</f>
        <v>85.899175968753838</v>
      </c>
    </row>
    <row r="108" spans="2:6" x14ac:dyDescent="0.2">
      <c r="C108" s="5" t="s">
        <v>60</v>
      </c>
      <c r="E108" s="7">
        <v>1050</v>
      </c>
      <c r="F108" t="s">
        <v>59</v>
      </c>
    </row>
    <row r="109" spans="2:6" x14ac:dyDescent="0.2">
      <c r="C109" s="5" t="s">
        <v>61</v>
      </c>
      <c r="E109" s="7">
        <v>35</v>
      </c>
      <c r="F109" t="s">
        <v>62</v>
      </c>
    </row>
    <row r="111" spans="2:6" x14ac:dyDescent="0.2">
      <c r="C111" s="5" t="s">
        <v>63</v>
      </c>
      <c r="E111" s="10">
        <f>DEGREES(ATAN(35/1050))</f>
        <v>1.9091524329963763</v>
      </c>
    </row>
    <row r="112" spans="2:6" x14ac:dyDescent="0.2">
      <c r="C112" s="5" t="s">
        <v>64</v>
      </c>
      <c r="E112" s="7">
        <v>1.8</v>
      </c>
    </row>
    <row r="113" spans="3:7" x14ac:dyDescent="0.2">
      <c r="C113" s="5" t="s">
        <v>65</v>
      </c>
      <c r="E113" s="38">
        <f>E111*E112</f>
        <v>3.4364743793934776</v>
      </c>
    </row>
    <row r="114" spans="3:7" x14ac:dyDescent="0.2">
      <c r="C114" s="5"/>
      <c r="E114" s="37"/>
    </row>
    <row r="115" spans="3:7" x14ac:dyDescent="0.2">
      <c r="C115" s="5" t="s">
        <v>68</v>
      </c>
    </row>
    <row r="116" spans="3:7" x14ac:dyDescent="0.2">
      <c r="C116" s="5" t="s">
        <v>66</v>
      </c>
      <c r="E116" s="7">
        <v>8000</v>
      </c>
      <c r="F116" t="s">
        <v>67</v>
      </c>
    </row>
    <row r="117" spans="3:7" x14ac:dyDescent="0.2">
      <c r="C117" s="5"/>
    </row>
    <row r="118" spans="3:7" x14ac:dyDescent="0.2">
      <c r="C118" s="5" t="s">
        <v>69</v>
      </c>
    </row>
    <row r="119" spans="3:7" x14ac:dyDescent="0.2">
      <c r="C119" s="5" t="s">
        <v>70</v>
      </c>
      <c r="E119" s="7">
        <v>7000</v>
      </c>
    </row>
    <row r="120" spans="3:7" ht="17" thickBot="1" x14ac:dyDescent="0.25"/>
    <row r="121" spans="3:7" ht="17" thickBot="1" x14ac:dyDescent="0.25">
      <c r="C121" s="33" t="s">
        <v>71</v>
      </c>
      <c r="D121" s="34"/>
      <c r="E121" s="41">
        <f>E119/TAN(RADIANS(E113))</f>
        <v>116569.88199083274</v>
      </c>
      <c r="F121" t="s">
        <v>72</v>
      </c>
    </row>
    <row r="122" spans="3:7" x14ac:dyDescent="0.2">
      <c r="C122" s="5"/>
      <c r="E122" s="9"/>
    </row>
    <row r="123" spans="3:7" x14ac:dyDescent="0.2">
      <c r="C123" s="5" t="s">
        <v>73</v>
      </c>
    </row>
    <row r="124" spans="3:7" ht="17" thickBot="1" x14ac:dyDescent="0.25">
      <c r="C124" s="5" t="s">
        <v>74</v>
      </c>
      <c r="E124" s="7">
        <v>1.375</v>
      </c>
    </row>
    <row r="125" spans="3:7" ht="17" thickBot="1" x14ac:dyDescent="0.25">
      <c r="C125" s="33" t="s">
        <v>75</v>
      </c>
      <c r="D125" s="34"/>
      <c r="E125" s="35">
        <f>(E119/E124)*(3600/5280)</f>
        <v>3471.0743801652889</v>
      </c>
      <c r="F125" s="10">
        <f>E125/767.3</f>
        <v>4.5237513100029831</v>
      </c>
      <c r="G125" t="s">
        <v>79</v>
      </c>
    </row>
    <row r="127" spans="3:7" x14ac:dyDescent="0.2">
      <c r="C127" s="5" t="s">
        <v>76</v>
      </c>
    </row>
    <row r="128" spans="3:7" x14ac:dyDescent="0.2">
      <c r="C128" s="5" t="s">
        <v>77</v>
      </c>
      <c r="E128" s="7">
        <v>166</v>
      </c>
    </row>
    <row r="129" spans="3:7" ht="17" thickBot="1" x14ac:dyDescent="0.25">
      <c r="C129" s="5" t="s">
        <v>78</v>
      </c>
      <c r="E129" s="9">
        <f>E128*I41</f>
        <v>7129.6316054065683</v>
      </c>
    </row>
    <row r="130" spans="3:7" ht="17" thickBot="1" x14ac:dyDescent="0.25">
      <c r="C130" s="33" t="s">
        <v>75</v>
      </c>
      <c r="D130" s="34"/>
      <c r="E130" s="35">
        <f>(E129/E124)*(3600/5280)</f>
        <v>3535.3545150776372</v>
      </c>
      <c r="F130" s="10">
        <f>E130/767.3</f>
        <v>4.6075257592566627</v>
      </c>
      <c r="G130" t="s">
        <v>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Avila</dc:creator>
  <cp:lastModifiedBy>Rick Avila</cp:lastModifiedBy>
  <dcterms:created xsi:type="dcterms:W3CDTF">2026-10-12T18:49:13Z</dcterms:created>
  <dcterms:modified xsi:type="dcterms:W3CDTF">2026-10-14T16:00:42Z</dcterms:modified>
</cp:coreProperties>
</file>